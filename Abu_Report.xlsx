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7a52219f568e42c/Desktop/"/>
    </mc:Choice>
  </mc:AlternateContent>
  <xr:revisionPtr revIDLastSave="41" documentId="11_15A689FA74F510BB51A5C018A5E8FDA2848B6A8A" xr6:coauthVersionLast="47" xr6:coauthVersionMax="47" xr10:uidLastSave="{0E1886CC-07DF-48FC-9DE6-A344224500F7}"/>
  <bookViews>
    <workbookView xWindow="-108" yWindow="-108" windowWidth="23256" windowHeight="13896" firstSheet="1" activeTab="8" xr2:uid="{00000000-000D-0000-FFFF-FFFF00000000}"/>
  </bookViews>
  <sheets>
    <sheet name="Report Overview" sheetId="1" r:id="rId1"/>
    <sheet name="Full Data" sheetId="2" r:id="rId2"/>
    <sheet name="Pending" sheetId="3" r:id="rId3"/>
    <sheet name="Overdue" sheetId="4" r:id="rId4"/>
    <sheet name="Paid" sheetId="5" r:id="rId5"/>
    <sheet name="Pivot_Status" sheetId="6" r:id="rId6"/>
    <sheet name="Pivot_City" sheetId="7" r:id="rId7"/>
    <sheet name="Summary" sheetId="8" r:id="rId8"/>
    <sheet name="Dashboard" sheetId="9" r:id="rId9"/>
  </sheets>
  <definedNames>
    <definedName name="_xlnm._FilterDatabase" localSheetId="1" hidden="1">'Full Data'!$A$1:$M$11</definedName>
    <definedName name="_xlnm._FilterDatabase" localSheetId="3" hidden="1">Overdue!$A$1:$M$4</definedName>
    <definedName name="_xlnm._FilterDatabase" localSheetId="4" hidden="1">Paid!$A$1:$M$1</definedName>
    <definedName name="_xlnm._FilterDatabase" localSheetId="2" hidden="1">Pending!$A$1:$M$5</definedName>
  </definedNames>
  <calcPr calcId="124519"/>
</workbook>
</file>

<file path=xl/sharedStrings.xml><?xml version="1.0" encoding="utf-8"?>
<sst xmlns="http://schemas.openxmlformats.org/spreadsheetml/2006/main" count="212" uniqueCount="84">
  <si>
    <t>Vendor Payment Report</t>
  </si>
  <si>
    <t>Vendor_Name</t>
  </si>
  <si>
    <t>Email</t>
  </si>
  <si>
    <t>Type</t>
  </si>
  <si>
    <t>Item</t>
  </si>
  <si>
    <t>Quantity</t>
  </si>
  <si>
    <t>Invoice_No</t>
  </si>
  <si>
    <t>Amount</t>
  </si>
  <si>
    <t>Due_Date</t>
  </si>
  <si>
    <t>Payment_Status</t>
  </si>
  <si>
    <t>City</t>
  </si>
  <si>
    <t>Contact_Person</t>
  </si>
  <si>
    <t>Total_Amount</t>
  </si>
  <si>
    <t>Days_Overdue</t>
  </si>
  <si>
    <t>ABC Traders</t>
  </si>
  <si>
    <t>Global Supplies Pvt Ltd</t>
  </si>
  <si>
    <t>Sunrise Enterprises</t>
  </si>
  <si>
    <t>Metro Logistics</t>
  </si>
  <si>
    <t>Prime Industrial Co</t>
  </si>
  <si>
    <t>Elite Suppliers</t>
  </si>
  <si>
    <t>National Distributors</t>
  </si>
  <si>
    <t>QuickFix Tools</t>
  </si>
  <si>
    <t>Vertex Engineering</t>
  </si>
  <si>
    <t>Om Sai Vendors</t>
  </si>
  <si>
    <t>abc.traders@gmail.com</t>
  </si>
  <si>
    <t>globalsupplies@gmail.com</t>
  </si>
  <si>
    <t>sunrise.ent@gmail.com</t>
  </si>
  <si>
    <t>metro.logistics@gmail.com</t>
  </si>
  <si>
    <t>prime.ind@gmail.com</t>
  </si>
  <si>
    <t>elite.suppliers@gmail.com</t>
  </si>
  <si>
    <t>national.dist@gmail.com</t>
  </si>
  <si>
    <t>quickfix@gmail.com</t>
  </si>
  <si>
    <t>vertex.eng@gmail.com</t>
  </si>
  <si>
    <t>omsai@gmail.com</t>
  </si>
  <si>
    <t>Order</t>
  </si>
  <si>
    <t>Payment</t>
  </si>
  <si>
    <t>Reminder</t>
  </si>
  <si>
    <t>Steel Rods</t>
  </si>
  <si>
    <t>Copper Wire</t>
  </si>
  <si>
    <t>Aluminum Sheets</t>
  </si>
  <si>
    <t>Transport Service</t>
  </si>
  <si>
    <t>Machine Parts</t>
  </si>
  <si>
    <t>Packaging Material</t>
  </si>
  <si>
    <t>Chemicals</t>
  </si>
  <si>
    <t>Repair Tools</t>
  </si>
  <si>
    <t>Spare Parts</t>
  </si>
  <si>
    <t>Office Supplies</t>
  </si>
  <si>
    <t>INV1001</t>
  </si>
  <si>
    <t>INV1002</t>
  </si>
  <si>
    <t>INV1003</t>
  </si>
  <si>
    <t>INV1004</t>
  </si>
  <si>
    <t>INV1005</t>
  </si>
  <si>
    <t>INV1006</t>
  </si>
  <si>
    <t>INV1007</t>
  </si>
  <si>
    <t>INV1008</t>
  </si>
  <si>
    <t>INV1009</t>
  </si>
  <si>
    <t>INV1010</t>
  </si>
  <si>
    <t>Pending</t>
  </si>
  <si>
    <t>Overdue</t>
  </si>
  <si>
    <t>Not Required</t>
  </si>
  <si>
    <t>Mumbai</t>
  </si>
  <si>
    <t>Delhi</t>
  </si>
  <si>
    <t>Pune</t>
  </si>
  <si>
    <t>Chennai</t>
  </si>
  <si>
    <t>Bangalore</t>
  </si>
  <si>
    <t>Hyderabad</t>
  </si>
  <si>
    <t>Ahmedabad</t>
  </si>
  <si>
    <t>Nagpur</t>
  </si>
  <si>
    <t>Rajesh Sharma</t>
  </si>
  <si>
    <t>Amit Verma</t>
  </si>
  <si>
    <t>Sneha Patil</t>
  </si>
  <si>
    <t>Rohit Mehta</t>
  </si>
  <si>
    <t>Vikram Iyer</t>
  </si>
  <si>
    <t>Kiran Reddy</t>
  </si>
  <si>
    <t>Anil Kumar</t>
  </si>
  <si>
    <t>Deepak Shah</t>
  </si>
  <si>
    <t>Manoj Tiwari</t>
  </si>
  <si>
    <t>Pooja Singh</t>
  </si>
  <si>
    <t>Metric</t>
  </si>
  <si>
    <t>Value</t>
  </si>
  <si>
    <t>Total Vendors</t>
  </si>
  <si>
    <t>Total Amount</t>
  </si>
  <si>
    <t>Paid</t>
  </si>
  <si>
    <t>📊 Dashboard Overview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</si>
</sst>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"/>
    <numFmt numFmtId="165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2" fillId="2" borderId="1" xfId="0" applyFont="1" applyFill="1" applyBorder="1" applyAlignment="1">
      <alignment horizontal="center"/>
    </xf>
    <xf numFmtId="165" fontId="0" fillId="0" borderId="0" xfId="0" applyNumberFormat="1"/>
    <xf numFmtId="0" fontId="3" fillId="0" borderId="1" xfId="0" applyFont="1" applyBorder="1" applyAlignment="1">
      <alignment horizontal="center" vertical="top"/>
    </xf>
    <xf numFmtId="0" fontId="1" fillId="3" borderId="0" xfId="0" applyFont="1" applyFill="1" applyAlignment="1">
      <alignment horizontal="center"/>
    </xf>
    <xf numFmtId="0" fontId="0" fillId="0" borderId="1" xfId="0" applyBorder="1"/>
    <xf numFmtId="0" fontId="3" fillId="4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center" vertical="top"/>
    </xf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Payment Status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168285214348207"/>
          <c:y val="0.18823487020769802"/>
          <c:w val="0.55847069116360459"/>
          <c:h val="0.67664155781105395"/>
        </c:manualLayout>
      </c:layout>
      <c:barChart>
        <c:barDir val="col"/>
        <c:grouping val="clustered"/>
        <c:varyColors val="0"/>
        <c:ser>
          <c:idx val="0"/>
          <c:order val="0"/>
          <c:tx>
            <c:v>Payment Status</c:v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Pivot_Status!$A$2:$A$4</c:f>
              <c:strCache>
                <c:ptCount val="3"/>
                <c:pt idx="0">
                  <c:v>Not Required</c:v>
                </c:pt>
                <c:pt idx="1">
                  <c:v>Overdue</c:v>
                </c:pt>
                <c:pt idx="2">
                  <c:v>Pending</c:v>
                </c:pt>
              </c:strCache>
            </c:strRef>
          </c:cat>
          <c:val>
            <c:numRef>
              <c:f>Pivot_Status!$B$2:$B$4</c:f>
              <c:numCache>
                <c:formatCode>General</c:formatCode>
                <c:ptCount val="3"/>
                <c:pt idx="0">
                  <c:v>57300000</c:v>
                </c:pt>
                <c:pt idx="1">
                  <c:v>73500000</c:v>
                </c:pt>
                <c:pt idx="2">
                  <c:v>260800000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AE-4FC5-8327-C8518AE69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Payment Share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Pivot_Status!$A$2:$A$4</c:f>
              <c:strCache>
                <c:ptCount val="3"/>
                <c:pt idx="0">
                  <c:v>Not Required</c:v>
                </c:pt>
                <c:pt idx="1">
                  <c:v>Overdue</c:v>
                </c:pt>
                <c:pt idx="2">
                  <c:v>Pending</c:v>
                </c:pt>
              </c:strCache>
            </c:strRef>
          </c:cat>
          <c:val>
            <c:numRef>
              <c:f>Pivot_Status!$B$2:$B$4</c:f>
              <c:numCache>
                <c:formatCode>General</c:formatCode>
                <c:ptCount val="3"/>
                <c:pt idx="0">
                  <c:v>57300000</c:v>
                </c:pt>
                <c:pt idx="1">
                  <c:v>73500000</c:v>
                </c:pt>
                <c:pt idx="2">
                  <c:v>260800000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46-496D-9D16-656BA79EDE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City Wise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Pivot_City!$A$2:$A$10</c:f>
              <c:strCache>
                <c:ptCount val="8"/>
                <c:pt idx="0">
                  <c:v>Ahmedabad</c:v>
                </c:pt>
                <c:pt idx="1">
                  <c:v>Bangalore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Mumbai</c:v>
                </c:pt>
                <c:pt idx="6">
                  <c:v>Nagpur</c:v>
                </c:pt>
                <c:pt idx="7">
                  <c:v>Pune</c:v>
                </c:pt>
              </c:strCache>
            </c:strRef>
          </c:cat>
          <c:val>
            <c:numRef>
              <c:f>Pivot_City!$B$2:$B$10</c:f>
              <c:numCache>
                <c:formatCode>General</c:formatCode>
                <c:ptCount val="9"/>
                <c:pt idx="0">
                  <c:v>4500000</c:v>
                </c:pt>
                <c:pt idx="1">
                  <c:v>80000000</c:v>
                </c:pt>
                <c:pt idx="2">
                  <c:v>33000000</c:v>
                </c:pt>
                <c:pt idx="3">
                  <c:v>36000000</c:v>
                </c:pt>
                <c:pt idx="4">
                  <c:v>43750000</c:v>
                </c:pt>
                <c:pt idx="5">
                  <c:v>138550000</c:v>
                </c:pt>
                <c:pt idx="6">
                  <c:v>10800000</c:v>
                </c:pt>
                <c:pt idx="7">
                  <c:v>45000000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56-4326-86E7-3ACA56B3A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catAx>
        <c:axId val="5003000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5</xdr:row>
      <xdr:rowOff>68580</xdr:rowOff>
    </xdr:from>
    <xdr:to>
      <xdr:col>8</xdr:col>
      <xdr:colOff>320040</xdr:colOff>
      <xdr:row>19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21</xdr:row>
      <xdr:rowOff>106680</xdr:rowOff>
    </xdr:from>
    <xdr:to>
      <xdr:col>8</xdr:col>
      <xdr:colOff>304800</xdr:colOff>
      <xdr:row>36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15240</xdr:colOff>
      <xdr:row>5</xdr:row>
      <xdr:rowOff>91440</xdr:rowOff>
    </xdr:from>
    <xdr:to>
      <xdr:col>16</xdr:col>
      <xdr:colOff>320040</xdr:colOff>
      <xdr:row>19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3"/>
  <sheetViews>
    <sheetView workbookViewId="0">
      <selection activeCell="I22" sqref="I22"/>
    </sheetView>
  </sheetViews>
  <sheetFormatPr defaultRowHeight="14.4" x14ac:dyDescent="0.3"/>
  <sheetData>
    <row r="2" spans="2:8" x14ac:dyDescent="0.3">
      <c r="B2" s="5" t="s">
        <v>0</v>
      </c>
      <c r="C2" s="5"/>
      <c r="D2" s="5"/>
      <c r="E2" s="5"/>
      <c r="F2" s="5"/>
      <c r="G2" s="5"/>
      <c r="H2" s="5"/>
    </row>
    <row r="3" spans="2:8" x14ac:dyDescent="0.3">
      <c r="B3" s="5"/>
      <c r="C3" s="5"/>
      <c r="D3" s="5"/>
      <c r="E3" s="5"/>
      <c r="F3" s="5"/>
      <c r="G3" s="5"/>
      <c r="H3" s="5"/>
    </row>
  </sheetData>
  <mergeCells count="1">
    <mergeCell ref="B2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M11"/>
  <sheetViews>
    <sheetView workbookViewId="0">
      <pane ySplit="1" topLeftCell="A3" activePane="bottomLeft" state="frozen"/>
      <selection pane="bottomLeft" activeCell="A3" sqref="A3"/>
    </sheetView>
  </sheetViews>
  <sheetFormatPr defaultRowHeight="14.4" x14ac:dyDescent="0.3"/>
  <cols>
    <col min="1" max="11" width="20.6640625" customWidth="1"/>
    <col min="12" max="12" width="18.6640625" style="1" customWidth="1"/>
    <col min="13" max="13" width="20.6640625" customWidth="1"/>
  </cols>
  <sheetData>
    <row r="1" spans="1:13" x14ac:dyDescent="0.3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 spans="1:13" hidden="1" x14ac:dyDescent="0.3">
      <c r="A2" t="s">
        <v>14</v>
      </c>
      <c r="B2" t="s">
        <v>24</v>
      </c>
      <c r="C2" t="s">
        <v>34</v>
      </c>
      <c r="D2" t="s">
        <v>37</v>
      </c>
      <c r="E2">
        <v>500</v>
      </c>
      <c r="F2" t="s">
        <v>47</v>
      </c>
      <c r="G2">
        <v>250000</v>
      </c>
      <c r="H2" s="3">
        <v>46132</v>
      </c>
      <c r="I2" t="s">
        <v>57</v>
      </c>
      <c r="J2" t="s">
        <v>60</v>
      </c>
      <c r="K2" t="s">
        <v>68</v>
      </c>
      <c r="L2" s="1">
        <v>125000000</v>
      </c>
      <c r="M2">
        <v>0</v>
      </c>
    </row>
    <row r="3" spans="1:13" x14ac:dyDescent="0.3">
      <c r="A3" t="s">
        <v>16</v>
      </c>
      <c r="B3" t="s">
        <v>26</v>
      </c>
      <c r="C3" t="s">
        <v>36</v>
      </c>
      <c r="D3" t="s">
        <v>39</v>
      </c>
      <c r="E3">
        <v>300</v>
      </c>
      <c r="F3" t="s">
        <v>49</v>
      </c>
      <c r="G3">
        <v>150000</v>
      </c>
      <c r="H3" s="3">
        <v>46117</v>
      </c>
      <c r="I3" t="s">
        <v>57</v>
      </c>
      <c r="J3" t="s">
        <v>62</v>
      </c>
      <c r="K3" t="s">
        <v>70</v>
      </c>
      <c r="L3" s="1">
        <v>45000000</v>
      </c>
      <c r="M3">
        <v>11</v>
      </c>
    </row>
    <row r="4" spans="1:13" hidden="1" x14ac:dyDescent="0.3">
      <c r="A4" t="s">
        <v>15</v>
      </c>
      <c r="B4" t="s">
        <v>25</v>
      </c>
      <c r="C4" t="s">
        <v>35</v>
      </c>
      <c r="D4" t="s">
        <v>38</v>
      </c>
      <c r="E4">
        <v>200</v>
      </c>
      <c r="F4" t="s">
        <v>48</v>
      </c>
      <c r="G4">
        <v>180000</v>
      </c>
      <c r="H4" s="3">
        <v>46122</v>
      </c>
      <c r="I4" t="s">
        <v>58</v>
      </c>
      <c r="J4" t="s">
        <v>61</v>
      </c>
      <c r="K4" t="s">
        <v>69</v>
      </c>
      <c r="L4" s="1">
        <v>36000000</v>
      </c>
      <c r="M4">
        <v>6</v>
      </c>
    </row>
    <row r="5" spans="1:13" hidden="1" x14ac:dyDescent="0.3">
      <c r="A5" t="s">
        <v>17</v>
      </c>
      <c r="B5" t="s">
        <v>27</v>
      </c>
      <c r="C5" t="s">
        <v>34</v>
      </c>
      <c r="D5" t="s">
        <v>40</v>
      </c>
      <c r="E5">
        <v>1</v>
      </c>
      <c r="F5" t="s">
        <v>50</v>
      </c>
      <c r="G5">
        <v>50000</v>
      </c>
      <c r="H5" s="3">
        <v>46137</v>
      </c>
      <c r="I5" t="s">
        <v>59</v>
      </c>
      <c r="J5" t="s">
        <v>60</v>
      </c>
      <c r="K5" t="s">
        <v>71</v>
      </c>
      <c r="L5" s="1">
        <v>50000</v>
      </c>
      <c r="M5">
        <v>0</v>
      </c>
    </row>
    <row r="6" spans="1:13" hidden="1" x14ac:dyDescent="0.3">
      <c r="A6" t="s">
        <v>18</v>
      </c>
      <c r="B6" t="s">
        <v>28</v>
      </c>
      <c r="C6" t="s">
        <v>35</v>
      </c>
      <c r="D6" t="s">
        <v>41</v>
      </c>
      <c r="E6">
        <v>150</v>
      </c>
      <c r="F6" t="s">
        <v>51</v>
      </c>
      <c r="G6">
        <v>220000</v>
      </c>
      <c r="H6" s="3">
        <v>46120</v>
      </c>
      <c r="I6" t="s">
        <v>58</v>
      </c>
      <c r="J6" t="s">
        <v>63</v>
      </c>
      <c r="K6" t="s">
        <v>72</v>
      </c>
      <c r="L6" s="1">
        <v>33000000</v>
      </c>
      <c r="M6">
        <v>8</v>
      </c>
    </row>
    <row r="7" spans="1:13" x14ac:dyDescent="0.3">
      <c r="A7" t="s">
        <v>19</v>
      </c>
      <c r="B7" t="s">
        <v>29</v>
      </c>
      <c r="C7" t="s">
        <v>36</v>
      </c>
      <c r="D7" t="s">
        <v>42</v>
      </c>
      <c r="E7">
        <v>1000</v>
      </c>
      <c r="F7" t="s">
        <v>52</v>
      </c>
      <c r="G7">
        <v>80000</v>
      </c>
      <c r="H7" s="3">
        <v>46124</v>
      </c>
      <c r="I7" t="s">
        <v>57</v>
      </c>
      <c r="J7" t="s">
        <v>64</v>
      </c>
      <c r="K7" t="s">
        <v>73</v>
      </c>
      <c r="L7" s="1">
        <v>80000000</v>
      </c>
      <c r="M7">
        <v>4</v>
      </c>
    </row>
    <row r="8" spans="1:13" hidden="1" x14ac:dyDescent="0.3">
      <c r="A8" t="s">
        <v>20</v>
      </c>
      <c r="B8" t="s">
        <v>30</v>
      </c>
      <c r="C8" t="s">
        <v>34</v>
      </c>
      <c r="D8" t="s">
        <v>43</v>
      </c>
      <c r="E8">
        <v>250</v>
      </c>
      <c r="F8" t="s">
        <v>53</v>
      </c>
      <c r="G8">
        <v>175000</v>
      </c>
      <c r="H8" s="3">
        <v>46134</v>
      </c>
      <c r="I8" t="s">
        <v>59</v>
      </c>
      <c r="J8" t="s">
        <v>65</v>
      </c>
      <c r="K8" t="s">
        <v>74</v>
      </c>
      <c r="L8" s="1">
        <v>43750000</v>
      </c>
      <c r="M8">
        <v>0</v>
      </c>
    </row>
    <row r="9" spans="1:13" hidden="1" x14ac:dyDescent="0.3">
      <c r="A9" t="s">
        <v>21</v>
      </c>
      <c r="B9" t="s">
        <v>31</v>
      </c>
      <c r="C9" t="s">
        <v>35</v>
      </c>
      <c r="D9" t="s">
        <v>44</v>
      </c>
      <c r="E9">
        <v>75</v>
      </c>
      <c r="F9" t="s">
        <v>54</v>
      </c>
      <c r="G9">
        <v>60000</v>
      </c>
      <c r="H9" s="3">
        <v>46121</v>
      </c>
      <c r="I9" t="s">
        <v>58</v>
      </c>
      <c r="J9" t="s">
        <v>66</v>
      </c>
      <c r="K9" t="s">
        <v>75</v>
      </c>
      <c r="L9" s="1">
        <v>4500000</v>
      </c>
      <c r="M9">
        <v>7</v>
      </c>
    </row>
    <row r="10" spans="1:13" x14ac:dyDescent="0.3">
      <c r="A10" t="s">
        <v>22</v>
      </c>
      <c r="B10" t="s">
        <v>32</v>
      </c>
      <c r="C10" t="s">
        <v>36</v>
      </c>
      <c r="D10" t="s">
        <v>45</v>
      </c>
      <c r="E10">
        <v>120</v>
      </c>
      <c r="F10" t="s">
        <v>55</v>
      </c>
      <c r="G10">
        <v>90000</v>
      </c>
      <c r="H10" s="3">
        <v>46118</v>
      </c>
      <c r="I10" t="s">
        <v>57</v>
      </c>
      <c r="J10" t="s">
        <v>67</v>
      </c>
      <c r="K10" t="s">
        <v>76</v>
      </c>
      <c r="L10" s="1">
        <v>10800000</v>
      </c>
      <c r="M10">
        <v>10</v>
      </c>
    </row>
    <row r="11" spans="1:13" hidden="1" x14ac:dyDescent="0.3">
      <c r="A11" t="s">
        <v>23</v>
      </c>
      <c r="B11" t="s">
        <v>33</v>
      </c>
      <c r="C11" t="s">
        <v>34</v>
      </c>
      <c r="D11" t="s">
        <v>46</v>
      </c>
      <c r="E11">
        <v>300</v>
      </c>
      <c r="F11" t="s">
        <v>56</v>
      </c>
      <c r="G11">
        <v>45000</v>
      </c>
      <c r="H11" s="3">
        <v>46140</v>
      </c>
      <c r="I11" t="s">
        <v>59</v>
      </c>
      <c r="J11" t="s">
        <v>60</v>
      </c>
      <c r="K11" t="s">
        <v>77</v>
      </c>
      <c r="L11" s="1">
        <v>13500000</v>
      </c>
      <c r="M11">
        <v>0</v>
      </c>
    </row>
  </sheetData>
  <autoFilter ref="A1:M11" xr:uid="{00000000-0009-0000-0000-000001000000}">
    <filterColumn colId="0">
      <filters>
        <filter val="Elite Suppliers"/>
        <filter val="Prime Industrial Co"/>
        <filter val="Sunrise Enterprises"/>
        <filter val="Vertex Engineering"/>
      </filters>
    </filterColumn>
    <filterColumn colId="2">
      <filters>
        <filter val="Reminder"/>
      </filters>
    </filterColumn>
    <sortState xmlns:xlrd2="http://schemas.microsoft.com/office/spreadsheetml/2017/richdata2" ref="A3:M10">
      <sortCondition ref="D1:D1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1" width="20.6640625" customWidth="1"/>
    <col min="12" max="12" width="18.6640625" style="1" customWidth="1"/>
    <col min="13" max="13" width="20.6640625" customWidth="1"/>
  </cols>
  <sheetData>
    <row r="1" spans="1:13" x14ac:dyDescent="0.3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 spans="1:13" x14ac:dyDescent="0.3">
      <c r="A2" t="s">
        <v>14</v>
      </c>
      <c r="B2" t="s">
        <v>24</v>
      </c>
      <c r="C2" t="s">
        <v>34</v>
      </c>
      <c r="D2" t="s">
        <v>37</v>
      </c>
      <c r="E2">
        <v>500</v>
      </c>
      <c r="F2" t="s">
        <v>47</v>
      </c>
      <c r="G2">
        <v>250000</v>
      </c>
      <c r="H2" s="3">
        <v>46132</v>
      </c>
      <c r="I2" t="s">
        <v>57</v>
      </c>
      <c r="J2" t="s">
        <v>60</v>
      </c>
      <c r="K2" t="s">
        <v>68</v>
      </c>
      <c r="L2" s="1">
        <v>125000000</v>
      </c>
      <c r="M2">
        <v>0</v>
      </c>
    </row>
    <row r="3" spans="1:13" x14ac:dyDescent="0.3">
      <c r="A3" t="s">
        <v>16</v>
      </c>
      <c r="B3" t="s">
        <v>26</v>
      </c>
      <c r="C3" t="s">
        <v>36</v>
      </c>
      <c r="D3" t="s">
        <v>39</v>
      </c>
      <c r="E3">
        <v>300</v>
      </c>
      <c r="F3" t="s">
        <v>49</v>
      </c>
      <c r="G3">
        <v>150000</v>
      </c>
      <c r="H3" s="3">
        <v>46117</v>
      </c>
      <c r="I3" t="s">
        <v>57</v>
      </c>
      <c r="J3" t="s">
        <v>62</v>
      </c>
      <c r="K3" t="s">
        <v>70</v>
      </c>
      <c r="L3" s="1">
        <v>45000000</v>
      </c>
      <c r="M3">
        <v>11</v>
      </c>
    </row>
    <row r="4" spans="1:13" x14ac:dyDescent="0.3">
      <c r="A4" t="s">
        <v>19</v>
      </c>
      <c r="B4" t="s">
        <v>29</v>
      </c>
      <c r="C4" t="s">
        <v>36</v>
      </c>
      <c r="D4" t="s">
        <v>42</v>
      </c>
      <c r="E4">
        <v>1000</v>
      </c>
      <c r="F4" t="s">
        <v>52</v>
      </c>
      <c r="G4">
        <v>80000</v>
      </c>
      <c r="H4" s="3">
        <v>46124</v>
      </c>
      <c r="I4" t="s">
        <v>57</v>
      </c>
      <c r="J4" t="s">
        <v>64</v>
      </c>
      <c r="K4" t="s">
        <v>73</v>
      </c>
      <c r="L4" s="1">
        <v>80000000</v>
      </c>
      <c r="M4">
        <v>4</v>
      </c>
    </row>
    <row r="5" spans="1:13" x14ac:dyDescent="0.3">
      <c r="A5" t="s">
        <v>22</v>
      </c>
      <c r="B5" t="s">
        <v>32</v>
      </c>
      <c r="C5" t="s">
        <v>36</v>
      </c>
      <c r="D5" t="s">
        <v>45</v>
      </c>
      <c r="E5">
        <v>120</v>
      </c>
      <c r="F5" t="s">
        <v>55</v>
      </c>
      <c r="G5">
        <v>90000</v>
      </c>
      <c r="H5" s="3">
        <v>46118</v>
      </c>
      <c r="I5" t="s">
        <v>57</v>
      </c>
      <c r="J5" t="s">
        <v>67</v>
      </c>
      <c r="K5" t="s">
        <v>76</v>
      </c>
      <c r="L5" s="1">
        <v>10800000</v>
      </c>
      <c r="M5">
        <v>10</v>
      </c>
    </row>
  </sheetData>
  <autoFilter ref="A1:M5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M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1" width="20.6640625" customWidth="1"/>
    <col min="12" max="12" width="18.6640625" style="1" customWidth="1"/>
    <col min="13" max="13" width="20.6640625" customWidth="1"/>
  </cols>
  <sheetData>
    <row r="1" spans="1:13" x14ac:dyDescent="0.3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 spans="1:13" hidden="1" x14ac:dyDescent="0.3">
      <c r="A2" t="s">
        <v>15</v>
      </c>
      <c r="B2" t="s">
        <v>25</v>
      </c>
      <c r="C2" t="s">
        <v>35</v>
      </c>
      <c r="D2" t="s">
        <v>38</v>
      </c>
      <c r="E2">
        <v>200</v>
      </c>
      <c r="F2" t="s">
        <v>48</v>
      </c>
      <c r="G2">
        <v>180000</v>
      </c>
      <c r="H2" s="3">
        <v>46122</v>
      </c>
      <c r="I2" t="s">
        <v>58</v>
      </c>
      <c r="J2" t="s">
        <v>61</v>
      </c>
      <c r="K2" t="s">
        <v>69</v>
      </c>
      <c r="L2" s="1">
        <v>36000000</v>
      </c>
      <c r="M2">
        <v>6</v>
      </c>
    </row>
    <row r="3" spans="1:13" x14ac:dyDescent="0.3">
      <c r="A3" t="s">
        <v>18</v>
      </c>
      <c r="B3" t="s">
        <v>28</v>
      </c>
      <c r="C3" t="s">
        <v>35</v>
      </c>
      <c r="D3" t="s">
        <v>41</v>
      </c>
      <c r="E3">
        <v>150</v>
      </c>
      <c r="F3" t="s">
        <v>51</v>
      </c>
      <c r="G3">
        <v>220000</v>
      </c>
      <c r="H3" s="3">
        <v>46120</v>
      </c>
      <c r="I3" t="s">
        <v>58</v>
      </c>
      <c r="J3" t="s">
        <v>63</v>
      </c>
      <c r="K3" t="s">
        <v>72</v>
      </c>
      <c r="L3" s="1">
        <v>33000000</v>
      </c>
      <c r="M3">
        <v>8</v>
      </c>
    </row>
    <row r="4" spans="1:13" x14ac:dyDescent="0.3">
      <c r="A4" t="s">
        <v>21</v>
      </c>
      <c r="B4" t="s">
        <v>31</v>
      </c>
      <c r="C4" t="s">
        <v>35</v>
      </c>
      <c r="D4" t="s">
        <v>44</v>
      </c>
      <c r="E4">
        <v>75</v>
      </c>
      <c r="F4" t="s">
        <v>54</v>
      </c>
      <c r="G4">
        <v>60000</v>
      </c>
      <c r="H4" s="3">
        <v>46121</v>
      </c>
      <c r="I4" t="s">
        <v>58</v>
      </c>
      <c r="J4" t="s">
        <v>66</v>
      </c>
      <c r="K4" t="s">
        <v>75</v>
      </c>
      <c r="L4" s="1">
        <v>4500000</v>
      </c>
      <c r="M4">
        <v>7</v>
      </c>
    </row>
  </sheetData>
  <autoFilter ref="A1:M4" xr:uid="{00000000-0009-0000-0000-000003000000}">
    <filterColumn colId="0">
      <filters>
        <filter val="Prime Industrial Co"/>
        <filter val="QuickFix Tools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"/>
  <sheetViews>
    <sheetView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1" width="20.6640625" customWidth="1"/>
    <col min="12" max="12" width="18.6640625" style="1" customWidth="1"/>
    <col min="13" max="13" width="20.6640625" customWidth="1"/>
  </cols>
  <sheetData>
    <row r="1" spans="1:13" x14ac:dyDescent="0.3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</sheetData>
  <autoFilter ref="A1:M1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selection activeCell="E11" sqref="E11"/>
    </sheetView>
  </sheetViews>
  <sheetFormatPr defaultRowHeight="14.4" x14ac:dyDescent="0.3"/>
  <cols>
    <col min="1" max="1" width="14.88671875" bestFit="1" customWidth="1"/>
    <col min="2" max="2" width="13.21875" bestFit="1" customWidth="1"/>
  </cols>
  <sheetData>
    <row r="1" spans="1:2" x14ac:dyDescent="0.3">
      <c r="A1" s="7" t="s">
        <v>9</v>
      </c>
      <c r="B1" s="7" t="s">
        <v>12</v>
      </c>
    </row>
    <row r="2" spans="1:2" x14ac:dyDescent="0.3">
      <c r="A2" s="4" t="s">
        <v>59</v>
      </c>
      <c r="B2" s="6">
        <v>57300000</v>
      </c>
    </row>
    <row r="3" spans="1:2" x14ac:dyDescent="0.3">
      <c r="A3" s="4" t="s">
        <v>58</v>
      </c>
      <c r="B3" s="6">
        <v>73500000</v>
      </c>
    </row>
    <row r="4" spans="1:2" x14ac:dyDescent="0.3">
      <c r="A4" s="4" t="s">
        <v>57</v>
      </c>
      <c r="B4" s="6">
        <v>260800000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"/>
  <sheetViews>
    <sheetView workbookViewId="0">
      <selection sqref="A1:B1"/>
    </sheetView>
  </sheetViews>
  <sheetFormatPr defaultRowHeight="14.4" x14ac:dyDescent="0.3"/>
  <cols>
    <col min="1" max="1" width="11.33203125" bestFit="1" customWidth="1"/>
    <col min="2" max="2" width="13.21875" bestFit="1" customWidth="1"/>
  </cols>
  <sheetData>
    <row r="1" spans="1:2" x14ac:dyDescent="0.3">
      <c r="A1" s="8" t="s">
        <v>10</v>
      </c>
      <c r="B1" s="8" t="s">
        <v>12</v>
      </c>
    </row>
    <row r="2" spans="1:2" x14ac:dyDescent="0.3">
      <c r="A2" s="4" t="s">
        <v>66</v>
      </c>
      <c r="B2" s="6">
        <v>4500000</v>
      </c>
    </row>
    <row r="3" spans="1:2" x14ac:dyDescent="0.3">
      <c r="A3" s="4" t="s">
        <v>64</v>
      </c>
      <c r="B3" s="6">
        <v>80000000</v>
      </c>
    </row>
    <row r="4" spans="1:2" x14ac:dyDescent="0.3">
      <c r="A4" s="4" t="s">
        <v>63</v>
      </c>
      <c r="B4" s="6">
        <v>33000000</v>
      </c>
    </row>
    <row r="5" spans="1:2" x14ac:dyDescent="0.3">
      <c r="A5" s="4" t="s">
        <v>61</v>
      </c>
      <c r="B5" s="6">
        <v>36000000</v>
      </c>
    </row>
    <row r="6" spans="1:2" x14ac:dyDescent="0.3">
      <c r="A6" s="4" t="s">
        <v>65</v>
      </c>
      <c r="B6" s="6">
        <v>43750000</v>
      </c>
    </row>
    <row r="7" spans="1:2" x14ac:dyDescent="0.3">
      <c r="A7" s="4" t="s">
        <v>60</v>
      </c>
      <c r="B7" s="6">
        <v>138550000</v>
      </c>
    </row>
    <row r="8" spans="1:2" x14ac:dyDescent="0.3">
      <c r="A8" s="4" t="s">
        <v>67</v>
      </c>
      <c r="B8" s="6">
        <v>10800000</v>
      </c>
    </row>
    <row r="9" spans="1:2" x14ac:dyDescent="0.3">
      <c r="A9" s="4" t="s">
        <v>62</v>
      </c>
      <c r="B9" s="6">
        <v>45000000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"/>
  <sheetViews>
    <sheetView workbookViewId="0">
      <selection activeCell="J8" sqref="J8"/>
    </sheetView>
  </sheetViews>
  <sheetFormatPr defaultRowHeight="14.4" x14ac:dyDescent="0.3"/>
  <cols>
    <col min="1" max="1" width="12.33203125" bestFit="1" customWidth="1"/>
    <col min="2" max="2" width="10" bestFit="1" customWidth="1"/>
  </cols>
  <sheetData>
    <row r="1" spans="1:2" x14ac:dyDescent="0.3">
      <c r="A1" s="7" t="s">
        <v>78</v>
      </c>
      <c r="B1" s="7" t="s">
        <v>79</v>
      </c>
    </row>
    <row r="2" spans="1:2" x14ac:dyDescent="0.3">
      <c r="A2" s="6" t="s">
        <v>80</v>
      </c>
      <c r="B2" s="6">
        <v>10</v>
      </c>
    </row>
    <row r="3" spans="1:2" x14ac:dyDescent="0.3">
      <c r="A3" s="6" t="s">
        <v>81</v>
      </c>
      <c r="B3" s="6">
        <v>391600000</v>
      </c>
    </row>
    <row r="4" spans="1:2" x14ac:dyDescent="0.3">
      <c r="A4" s="6" t="s">
        <v>57</v>
      </c>
      <c r="B4" s="6">
        <v>260800000</v>
      </c>
    </row>
    <row r="5" spans="1:2" x14ac:dyDescent="0.3">
      <c r="A5" s="6" t="s">
        <v>58</v>
      </c>
      <c r="B5" s="6">
        <v>73500000</v>
      </c>
    </row>
    <row r="6" spans="1:2" x14ac:dyDescent="0.3">
      <c r="A6" s="6" t="s">
        <v>82</v>
      </c>
      <c r="B6" s="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"/>
  <sheetViews>
    <sheetView tabSelected="1" workbookViewId="0">
      <selection activeCell="O30" sqref="O30"/>
    </sheetView>
  </sheetViews>
  <sheetFormatPr defaultRowHeight="14.4" x14ac:dyDescent="0.3"/>
  <sheetData>
    <row r="1" spans="1:4" ht="23.4" x14ac:dyDescent="0.45">
      <c r="A1" s="9" t="s">
        <v>83</v>
      </c>
      <c r="B1" s="9"/>
      <c r="C1" s="9"/>
      <c r="D1" s="9"/>
    </row>
  </sheetData>
  <mergeCells count="1">
    <mergeCell ref="A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Report Overview</vt:lpstr>
      <vt:lpstr>Full Data</vt:lpstr>
      <vt:lpstr>Pending</vt:lpstr>
      <vt:lpstr>Overdue</vt:lpstr>
      <vt:lpstr>Paid</vt:lpstr>
      <vt:lpstr>Pivot_Status</vt:lpstr>
      <vt:lpstr>Pivot_City</vt:lpstr>
      <vt:lpstr>Summary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Abubakar Maulani Pungiwale</cp:lastModifiedBy>
  <dcterms:created xsi:type="dcterms:W3CDTF">2026-04-16T08:38:56Z</dcterms:created>
  <dcterms:modified xsi:type="dcterms:W3CDTF">2026-04-27T22:37:08Z</dcterms:modified>
</cp:coreProperties>
</file>